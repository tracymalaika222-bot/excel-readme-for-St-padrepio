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5F90FAC-AF78-4109-9015-279C77005B11}" xr6:coauthVersionLast="47" xr6:coauthVersionMax="47" xr10:uidLastSave="{00000000-0000-0000-0000-000000000000}"/>
  <bookViews>
    <workbookView xWindow="-120" yWindow="-120" windowWidth="20730" windowHeight="11040" activeTab="1" xr2:uid="{BB5D5C17-8E45-4B48-9D41-CF31CF7A6AAD}"/>
  </bookViews>
  <sheets>
    <sheet name="Dashboard" sheetId="17" r:id="rId1"/>
    <sheet name="Insights" sheetId="19" r:id="rId2"/>
    <sheet name="Revenue By Country" sheetId="1" r:id="rId3"/>
    <sheet name="promoflag_analysis" sheetId="8" r:id="rId4"/>
    <sheet name="Margin_band |Transaction_coun" sheetId="7" r:id="rId5"/>
    <sheet name="Generic|Non_generic" sheetId="6" r:id="rId6"/>
    <sheet name="Year|Revenue" sheetId="14" r:id="rId7"/>
    <sheet name="KPIs" sheetId="9" r:id="rId8"/>
  </sheets>
  <calcPr calcId="181029"/>
</workbook>
</file>

<file path=xl/calcChain.xml><?xml version="1.0" encoding="utf-8"?>
<calcChain xmlns="http://schemas.openxmlformats.org/spreadsheetml/2006/main">
  <c r="D5" i="9" l="1"/>
  <c r="B5" i="9"/>
  <c r="M5" i="9"/>
  <c r="H5" i="9"/>
</calcChain>
</file>

<file path=xl/sharedStrings.xml><?xml version="1.0" encoding="utf-8"?>
<sst xmlns="http://schemas.openxmlformats.org/spreadsheetml/2006/main" count="54" uniqueCount="49">
  <si>
    <t>Country</t>
  </si>
  <si>
    <t>Total_revenue</t>
  </si>
  <si>
    <t>Total_margin</t>
  </si>
  <si>
    <t>margin_percent</t>
  </si>
  <si>
    <t>Austria</t>
  </si>
  <si>
    <t>Belgium</t>
  </si>
  <si>
    <t>Italy</t>
  </si>
  <si>
    <t>Poland</t>
  </si>
  <si>
    <t>Germany</t>
  </si>
  <si>
    <t>France</t>
  </si>
  <si>
    <t>Netherlands</t>
  </si>
  <si>
    <t>Spain</t>
  </si>
  <si>
    <t>YearMonth</t>
  </si>
  <si>
    <t>Total_Revenue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</si>
  <si>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</si>
  <si>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</si>
  <si>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</si>
  <si>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</si>
  <si>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</si>
  <si>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</si>
  <si>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</si>
  <si>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</si>
  <si>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</si>
  <si>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</si>
  <si>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</si>
  <si>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</si>
  <si>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</si>
  <si>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</si>
  <si>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</si>
  <si>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</si>
  <si>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</si>
  <si>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</si>
  <si>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</si>
  <si>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</si>
  <si>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</si>
  <si>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</si>
  <si>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</si>
  <si>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</si>
  <si>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IsGeneric</t>
  </si>
  <si>
    <t>No</t>
  </si>
  <si>
    <t>Yes</t>
  </si>
  <si>
    <t>Margin_Band</t>
  </si>
  <si>
    <t>Transaction_Count</t>
  </si>
  <si>
    <t>High Margin</t>
  </si>
  <si>
    <t>Medium Margin</t>
  </si>
  <si>
    <t>Low Margin</t>
  </si>
  <si>
    <t>Avg_units_sold</t>
  </si>
  <si>
    <t>avg_margin</t>
  </si>
  <si>
    <t>PromoFlag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</si>
</sst>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,,&quot;M&quot;"/>
    <numFmt numFmtId="165" formatCode=".00&quot;%&quot;"/>
  </numFmts>
  <fonts count="20" x14ac:knownFonts="1">
    <font>
      <sz val="11"/>
      <color theme="1"/>
      <name val="Calisto MT"/>
      <family val="2"/>
      <scheme val="minor"/>
    </font>
    <font>
      <sz val="11"/>
      <color theme="1"/>
      <name val="Calisto MT"/>
      <family val="2"/>
      <scheme val="minor"/>
    </font>
    <font>
      <sz val="18"/>
      <color theme="3"/>
      <name val="Calisto MT"/>
      <family val="2"/>
      <scheme val="major"/>
    </font>
    <font>
      <b/>
      <sz val="15"/>
      <color theme="3"/>
      <name val="Calisto MT"/>
      <family val="2"/>
      <scheme val="minor"/>
    </font>
    <font>
      <b/>
      <sz val="13"/>
      <color theme="3"/>
      <name val="Calisto MT"/>
      <family val="2"/>
      <scheme val="minor"/>
    </font>
    <font>
      <b/>
      <sz val="11"/>
      <color theme="3"/>
      <name val="Calisto MT"/>
      <family val="2"/>
      <scheme val="minor"/>
    </font>
    <font>
      <sz val="11"/>
      <color rgb="FF006100"/>
      <name val="Calisto MT"/>
      <family val="2"/>
      <scheme val="minor"/>
    </font>
    <font>
      <sz val="11"/>
      <color rgb="FF9C0006"/>
      <name val="Calisto MT"/>
      <family val="2"/>
      <scheme val="minor"/>
    </font>
    <font>
      <sz val="11"/>
      <color rgb="FF9C5700"/>
      <name val="Calisto MT"/>
      <family val="2"/>
      <scheme val="minor"/>
    </font>
    <font>
      <sz val="11"/>
      <color rgb="FF3F3F76"/>
      <name val="Calisto MT"/>
      <family val="2"/>
      <scheme val="minor"/>
    </font>
    <font>
      <b/>
      <sz val="11"/>
      <color rgb="FF3F3F3F"/>
      <name val="Calisto MT"/>
      <family val="2"/>
      <scheme val="minor"/>
    </font>
    <font>
      <b/>
      <sz val="11"/>
      <color rgb="FFFA7D00"/>
      <name val="Calisto MT"/>
      <family val="2"/>
      <scheme val="minor"/>
    </font>
    <font>
      <sz val="11"/>
      <color rgb="FFFA7D00"/>
      <name val="Calisto MT"/>
      <family val="2"/>
      <scheme val="minor"/>
    </font>
    <font>
      <b/>
      <sz val="11"/>
      <color theme="0"/>
      <name val="Calisto MT"/>
      <family val="2"/>
      <scheme val="minor"/>
    </font>
    <font>
      <sz val="11"/>
      <color rgb="FFFF0000"/>
      <name val="Calisto MT"/>
      <family val="2"/>
      <scheme val="minor"/>
    </font>
    <font>
      <i/>
      <sz val="11"/>
      <color rgb="FF7F7F7F"/>
      <name val="Calisto MT"/>
      <family val="2"/>
      <scheme val="minor"/>
    </font>
    <font>
      <b/>
      <sz val="11"/>
      <color theme="1"/>
      <name val="Calisto MT"/>
      <family val="2"/>
      <scheme val="minor"/>
    </font>
    <font>
      <sz val="11"/>
      <color theme="0"/>
      <name val="Calisto MT"/>
      <family val="2"/>
      <scheme val="minor"/>
    </font>
    <font>
      <sz val="10"/>
      <color theme="1"/>
      <name val="Calisto MT"/>
      <family val="2"/>
      <scheme val="minor"/>
    </font>
    <font>
      <sz val="20"/>
      <color theme="1"/>
      <name val="Calisto MT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4" borderId="0" xfId="0" applyFont="1" applyFill="1"/>
    <xf numFmtId="0" fontId="0" fillId="34" borderId="0" xfId="0" applyFill="1"/>
    <xf numFmtId="0" fontId="19" fillId="34" borderId="0" xfId="0" applyFont="1" applyFill="1"/>
    <xf numFmtId="0" fontId="0" fillId="33" borderId="0" xfId="0" applyFill="1"/>
    <xf numFmtId="164" fontId="19" fillId="34" borderId="0" xfId="0" applyNumberFormat="1" applyFont="1" applyFill="1"/>
    <xf numFmtId="165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57EAB6"/>
        </patternFill>
      </fill>
    </dxf>
    <dxf>
      <fill>
        <patternFill>
          <fgColor rgb="FF57EAB6"/>
        </patternFill>
      </fill>
    </dxf>
  </dxfs>
  <tableStyles count="2" defaultTableStyle="TableStyleMedium2" defaultPivotStyle="PivotStyleLight16">
    <tableStyle name="Table Style 1" pivot="0" count="1" xr9:uid="{F3CBD817-8208-4B33-BD56-9A0CF1723778}">
      <tableStyleElement type="wholeTable" dxfId="1"/>
    </tableStyle>
    <tableStyle name="Table Style 2" pivot="0" count="1" xr9:uid="{EFC1C58B-9855-405C-B5ED-7B54FB910B8A}">
      <tableStyleElement type="wholeTable" dxfId="0"/>
    </tableStyle>
  </tableStyles>
  <colors>
    <mruColors>
      <color rgb="FF57EAB6"/>
      <color rgb="FF6C8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'Year|Revenue'!$B$1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marker>
            <c:symbol val="none"/>
          </c:marker>
          <c:cat>
            <c:strRef>
              <c:f>'Year|Revenue'!$A$2:$A$25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'Year|Revenue'!$B$2:$B$25</c:f>
              <c:numCache>
                <c:formatCode>General</c:formatCode>
                <c:ptCount val="24"/>
                <c:pt idx="0">
                  <c:v>348141.16</c:v>
                </c:pt>
                <c:pt idx="1">
                  <c:v>327319.25</c:v>
                </c:pt>
                <c:pt idx="2">
                  <c:v>346366.74</c:v>
                </c:pt>
                <c:pt idx="3">
                  <c:v>330369.31</c:v>
                </c:pt>
                <c:pt idx="4">
                  <c:v>357866.97</c:v>
                </c:pt>
                <c:pt idx="5">
                  <c:v>342538.26</c:v>
                </c:pt>
                <c:pt idx="6">
                  <c:v>388334.11</c:v>
                </c:pt>
                <c:pt idx="7">
                  <c:v>373987.77</c:v>
                </c:pt>
                <c:pt idx="8">
                  <c:v>357304.83</c:v>
                </c:pt>
                <c:pt idx="9">
                  <c:v>368336.44</c:v>
                </c:pt>
                <c:pt idx="10">
                  <c:v>343070.64</c:v>
                </c:pt>
                <c:pt idx="11">
                  <c:v>339778.65</c:v>
                </c:pt>
                <c:pt idx="12">
                  <c:v>345070.97</c:v>
                </c:pt>
                <c:pt idx="13">
                  <c:v>329089.03000000003</c:v>
                </c:pt>
                <c:pt idx="14">
                  <c:v>354623.96</c:v>
                </c:pt>
                <c:pt idx="15">
                  <c:v>355072.7</c:v>
                </c:pt>
                <c:pt idx="16">
                  <c:v>392674.34</c:v>
                </c:pt>
                <c:pt idx="17">
                  <c:v>379229</c:v>
                </c:pt>
                <c:pt idx="18">
                  <c:v>380506.72</c:v>
                </c:pt>
                <c:pt idx="19">
                  <c:v>367547.99</c:v>
                </c:pt>
                <c:pt idx="20">
                  <c:v>373700.91</c:v>
                </c:pt>
                <c:pt idx="21">
                  <c:v>382001.97</c:v>
                </c:pt>
                <c:pt idx="22">
                  <c:v>367538.29</c:v>
                </c:pt>
                <c:pt idx="23">
                  <c:v>383507.3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4-4340-AEDB-D3E6F4DA7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140528"/>
        <c:axId val="880389984"/>
      </c:lineChart>
      <c:catAx>
        <c:axId val="97414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89984"/>
        <c:crosses val="autoZero"/>
        <c:auto val="1"/>
        <c:lblAlgn val="ctr"/>
        <c:lblOffset val="100"/>
        <c:tickLblSkip val="2"/>
        <c:noMultiLvlLbl val="0"/>
      </c:catAx>
      <c:valAx>
        <c:axId val="88038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14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Is Generic</a:t>
            </a:r>
            <a:r>
              <a:rPr lang="en-US" b="1" baseline="0">
                <a:solidFill>
                  <a:schemeClr val="tx2"/>
                </a:solidFill>
              </a:rPr>
              <a:t>  </a:t>
            </a:r>
            <a:endParaRPr lang="en-US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36063750168384223"/>
          <c:y val="0.11122993346761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91568939490142"/>
          <c:y val="0.33600000000000002"/>
          <c:w val="0.41070541504345565"/>
          <c:h val="0.51959030702557529"/>
        </c:manualLayout>
      </c:layout>
      <c:doughnutChart>
        <c:varyColors val="1"/>
        <c:ser>
          <c:idx val="0"/>
          <c:order val="0"/>
          <c:tx>
            <c:strRef>
              <c:f>'Generic|Non_generic'!$A$1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E7-439A-81DB-5B271A3983CB}"/>
              </c:ext>
            </c:extLst>
          </c:dPt>
          <c:dPt>
            <c:idx val="1"/>
            <c:bubble3D val="0"/>
            <c:spPr>
              <a:solidFill>
                <a:srgbClr val="57EA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E7-439A-81DB-5B271A3983CB}"/>
              </c:ext>
            </c:extLst>
          </c:dPt>
          <c:cat>
            <c:strRef>
              <c:f>'Generic|Non_generic'!$C$2:$C$3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'Generic|Non_generic'!$A$2:$A$3</c:f>
              <c:numCache>
                <c:formatCode>General</c:formatCode>
                <c:ptCount val="2"/>
                <c:pt idx="0">
                  <c:v>7373585.9400000004</c:v>
                </c:pt>
                <c:pt idx="1">
                  <c:v>1260391.3700000001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E7-439A-81DB-5B271A3983CB}"/>
            </c:ext>
          </c:extLst>
        </c:ser>
        <c:ser>
          <c:idx val="2"/>
          <c:order val="1"/>
          <c:tx>
            <c:strRef>
              <c:f>'Generic|Non_generic'!$C$1</c:f>
              <c:strCache>
                <c:ptCount val="1"/>
                <c:pt idx="0">
                  <c:v>IsGeneric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9E7-439A-81DB-5B271A3983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9E7-439A-81DB-5B271A3983CB}"/>
              </c:ext>
            </c:extLst>
          </c:dPt>
          <c:cat>
            <c:strRef>
              <c:f>'Generic|Non_generic'!$C$2:$C$3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'Generic|Non_generic'!$C$2:$C$3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E7-439A-81DB-5B271A398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</a:t>
            </a:r>
            <a:r>
              <a:rPr lang="en-US" baseline="0"/>
              <a:t> Effect On Avg Margin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8606243547683671"/>
          <c:y val="4.00000209973863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83885233523892"/>
          <c:y val="0.23557638117321225"/>
          <c:w val="0.82278574767195201"/>
          <c:h val="0.4590999295819729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promoflag_analysis!$B$1</c:f>
              <c:strCache>
                <c:ptCount val="1"/>
                <c:pt idx="0">
                  <c:v>avg_margin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6000"/>
                    <a:lumMod val="104000"/>
                  </a:schemeClr>
                </a:gs>
                <a:gs pos="100000">
                  <a:schemeClr val="accent5">
                    <a:shade val="90000"/>
                    <a:lumMod val="9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promoflag_analysis!$C$2:$C$3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promoflag_analysis!$B$2:$B$3</c:f>
              <c:numCache>
                <c:formatCode>General</c:formatCode>
                <c:ptCount val="2"/>
                <c:pt idx="0">
                  <c:v>40.936999999999998</c:v>
                </c:pt>
                <c:pt idx="1">
                  <c:v>24.434000000000001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8-4264-BB68-CD5468A88ABA}"/>
            </c:ext>
          </c:extLst>
        </c:ser>
        <c:ser>
          <c:idx val="2"/>
          <c:order val="1"/>
          <c:tx>
            <c:strRef>
              <c:f>promoflag_analysis!$C$1</c:f>
              <c:strCache>
                <c:ptCount val="1"/>
                <c:pt idx="0">
                  <c:v>PromoFlag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5000"/>
                    <a:tint val="96000"/>
                    <a:lumMod val="104000"/>
                  </a:schemeClr>
                </a:gs>
                <a:gs pos="100000">
                  <a:schemeClr val="accent5">
                    <a:shade val="65000"/>
                    <a:shade val="90000"/>
                    <a:lumMod val="9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promoflag_analysis!$C$2:$C$3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promoflag_analysis!$C$2:$C$3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8-4264-BB68-CD5468A88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35682080"/>
        <c:axId val="880387104"/>
      </c:barChart>
      <c:catAx>
        <c:axId val="83568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87104"/>
        <c:crosses val="autoZero"/>
        <c:auto val="1"/>
        <c:lblAlgn val="ctr"/>
        <c:lblOffset val="100"/>
        <c:noMultiLvlLbl val="0"/>
      </c:catAx>
      <c:valAx>
        <c:axId val="88038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8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Margin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'Margin_band |Transaction_coun'!$C$1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tint val="96000"/>
                    <a:lumMod val="104000"/>
                  </a:schemeClr>
                </a:gs>
                <a:gs pos="100000">
                  <a:schemeClr val="accent5">
                    <a:shade val="76000"/>
                    <a:shade val="90000"/>
                    <a:lumMod val="9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'Margin_band |Transaction_coun'!$A$2:$A$4</c:f>
              <c:strCache>
                <c:ptCount val="3"/>
                <c:pt idx="0">
                  <c:v>High Margin</c:v>
                </c:pt>
                <c:pt idx="1">
                  <c:v>Medium Margin</c:v>
                </c:pt>
                <c:pt idx="2">
                  <c:v>Low Margin</c:v>
                </c:pt>
              </c:strCache>
            </c:strRef>
          </c:cat>
          <c:val>
            <c:numRef>
              <c:f>'Margin_band |Transaction_coun'!$C$2:$C$4</c:f>
              <c:numCache>
                <c:formatCode>General</c:formatCode>
                <c:ptCount val="3"/>
                <c:pt idx="0">
                  <c:v>4825878.7699999996</c:v>
                </c:pt>
                <c:pt idx="1">
                  <c:v>2379990.29</c:v>
                </c:pt>
                <c:pt idx="2">
                  <c:v>1428108.25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4-4991-86FC-B4E7AC2A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8486768"/>
        <c:axId val="880380384"/>
      </c:barChart>
      <c:catAx>
        <c:axId val="79848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80384"/>
        <c:crosses val="autoZero"/>
        <c:auto val="1"/>
        <c:lblAlgn val="ctr"/>
        <c:lblOffset val="100"/>
        <c:noMultiLvlLbl val="0"/>
      </c:catAx>
      <c:valAx>
        <c:axId val="8803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8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</a:t>
            </a:r>
            <a:r>
              <a:rPr lang="en-US" baseline="0"/>
              <a:t> Count By Margin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'Margin_band |Transaction_coun'!$A$2</c:f>
              <c:strCache>
                <c:ptCount val="1"/>
                <c:pt idx="0">
                  <c:v>High Margin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4000"/>
                  </a:schemeClr>
                </a:gs>
                <a:gs pos="100000">
                  <a:schemeClr val="accent1">
                    <a:shade val="90000"/>
                    <a:lumMod val="9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4A0-481B-BCC8-AEAE9B6DCFD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4A0-481B-BCC8-AEAE9B6DCFD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4A0-481B-BCC8-AEAE9B6DCFD3}"/>
              </c:ext>
            </c:extLst>
          </c:dPt>
          <c:cat>
            <c:strRef>
              <c:f>'Margin_band |Transaction_coun'!$B$1</c:f>
              <c:strCache>
                <c:ptCount val="1"/>
                <c:pt idx="0">
                  <c:v>Transaction_Count</c:v>
                </c:pt>
              </c:strCache>
            </c:strRef>
          </c:cat>
          <c:val>
            <c:numRef>
              <c:f>'Margin_band |Transaction_coun'!$B$2</c:f>
              <c:numCache>
                <c:formatCode>General</c:formatCode>
                <c:ptCount val="1"/>
                <c:pt idx="0">
                  <c:v>16473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A0-481B-BCC8-AEAE9B6DCFD3}"/>
            </c:ext>
          </c:extLst>
        </c:ser>
        <c:ser>
          <c:idx val="1"/>
          <c:order val="1"/>
          <c:tx>
            <c:strRef>
              <c:f>'Margin_band |Transaction_coun'!$A$3</c:f>
              <c:strCache>
                <c:ptCount val="1"/>
                <c:pt idx="0">
                  <c:v>Medium Margin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'Margin_band |Transaction_coun'!$B$1</c:f>
              <c:strCache>
                <c:ptCount val="1"/>
                <c:pt idx="0">
                  <c:v>Transaction_Count</c:v>
                </c:pt>
              </c:strCache>
            </c:strRef>
          </c:cat>
          <c:val>
            <c:numRef>
              <c:f>'Margin_band |Transaction_coun'!$B$3</c:f>
              <c:numCache>
                <c:formatCode>General</c:formatCode>
                <c:ptCount val="1"/>
                <c:pt idx="0">
                  <c:v>18581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A0-481B-BCC8-AEAE9B6DCFD3}"/>
            </c:ext>
          </c:extLst>
        </c:ser>
        <c:ser>
          <c:idx val="2"/>
          <c:order val="2"/>
          <c:tx>
            <c:strRef>
              <c:f>'Margin_band |Transaction_coun'!$A$4</c:f>
              <c:strCache>
                <c:ptCount val="1"/>
                <c:pt idx="0">
                  <c:v>Low Margin</c:v>
                </c:pt>
              </c:strCache>
            </c:strRef>
          </c:tx>
          <c:spPr>
            <a:solidFill>
              <a:srgbClr val="57EAB6"/>
            </a:soli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'Margin_band |Transaction_coun'!$B$1</c:f>
              <c:strCache>
                <c:ptCount val="1"/>
                <c:pt idx="0">
                  <c:v>Transaction_Count</c:v>
                </c:pt>
              </c:strCache>
            </c:strRef>
          </c:cat>
          <c:val>
            <c:numRef>
              <c:f>'Margin_band |Transaction_coun'!$B$4</c:f>
              <c:numCache>
                <c:formatCode>General</c:formatCode>
                <c:ptCount val="1"/>
                <c:pt idx="0">
                  <c:v>27085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A0-481B-BCC8-AEAE9B6DC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04217216"/>
        <c:axId val="1232485536"/>
      </c:barChart>
      <c:valAx>
        <c:axId val="123248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217216"/>
        <c:crosses val="autoZero"/>
        <c:crossBetween val="between"/>
      </c:valAx>
      <c:catAx>
        <c:axId val="130421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85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1619094488189E-2"/>
          <c:y val="0.88475958005249344"/>
          <c:w val="0.73814198834901734"/>
          <c:h val="0.10857375328083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63500" dist="50800" dir="189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Revenue,</a:t>
            </a:r>
            <a:r>
              <a:rPr lang="en-US" baseline="0"/>
              <a:t> Margin &amp; Margin%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Country'!$B$1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4000"/>
                  </a:schemeClr>
                </a:gs>
                <a:gs pos="100000">
                  <a:schemeClr val="accent1">
                    <a:shade val="90000"/>
                    <a:lumMod val="9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'Revenue By Country'!$A$2:$A$9</c:f>
              <c:strCache>
                <c:ptCount val="8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Belgium</c:v>
                </c:pt>
                <c:pt idx="4">
                  <c:v>Netherlands</c:v>
                </c:pt>
                <c:pt idx="5">
                  <c:v>Spain</c:v>
                </c:pt>
                <c:pt idx="6">
                  <c:v>Poland</c:v>
                </c:pt>
                <c:pt idx="7">
                  <c:v>Austria</c:v>
                </c:pt>
              </c:strCache>
            </c:strRef>
          </c:cat>
          <c:val>
            <c:numRef>
              <c:f>'Revenue By Country'!$B$2:$B$9</c:f>
              <c:numCache>
                <c:formatCode>General</c:formatCode>
                <c:ptCount val="8"/>
                <c:pt idx="0">
                  <c:v>1567633.95</c:v>
                </c:pt>
                <c:pt idx="1">
                  <c:v>1406811.74</c:v>
                </c:pt>
                <c:pt idx="2">
                  <c:v>1332155.51</c:v>
                </c:pt>
                <c:pt idx="3">
                  <c:v>1246510.77</c:v>
                </c:pt>
                <c:pt idx="4">
                  <c:v>947748.2</c:v>
                </c:pt>
                <c:pt idx="5">
                  <c:v>735600.24</c:v>
                </c:pt>
                <c:pt idx="6">
                  <c:v>714235.73</c:v>
                </c:pt>
                <c:pt idx="7">
                  <c:v>683281.17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0-41D8-8E69-D050C3393912}"/>
            </c:ext>
          </c:extLst>
        </c:ser>
        <c:ser>
          <c:idx val="1"/>
          <c:order val="1"/>
          <c:tx>
            <c:strRef>
              <c:f>'Revenue By Country'!$C$1</c:f>
              <c:strCache>
                <c:ptCount val="1"/>
                <c:pt idx="0">
                  <c:v>Total_margin</c:v>
                </c:pt>
              </c:strCache>
            </c:strRef>
          </c:tx>
          <c:spPr>
            <a:solidFill>
              <a:srgbClr val="57EAB6"/>
            </a:soli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'Revenue By Country'!$A$2:$A$9</c:f>
              <c:strCache>
                <c:ptCount val="8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Belgium</c:v>
                </c:pt>
                <c:pt idx="4">
                  <c:v>Netherlands</c:v>
                </c:pt>
                <c:pt idx="5">
                  <c:v>Spain</c:v>
                </c:pt>
                <c:pt idx="6">
                  <c:v>Poland</c:v>
                </c:pt>
                <c:pt idx="7">
                  <c:v>Austria</c:v>
                </c:pt>
              </c:strCache>
            </c:strRef>
          </c:cat>
          <c:val>
            <c:numRef>
              <c:f>'Revenue By Country'!$C$2:$C$9</c:f>
              <c:numCache>
                <c:formatCode>General</c:formatCode>
                <c:ptCount val="8"/>
                <c:pt idx="0">
                  <c:v>439238.04</c:v>
                </c:pt>
                <c:pt idx="1">
                  <c:v>393705.53</c:v>
                </c:pt>
                <c:pt idx="2">
                  <c:v>374344.2</c:v>
                </c:pt>
                <c:pt idx="3">
                  <c:v>351005.49</c:v>
                </c:pt>
                <c:pt idx="4">
                  <c:v>265194.62</c:v>
                </c:pt>
                <c:pt idx="5">
                  <c:v>204777.98</c:v>
                </c:pt>
                <c:pt idx="6">
                  <c:v>200443.19</c:v>
                </c:pt>
                <c:pt idx="7">
                  <c:v>192432.02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0-41D8-8E69-D050C3393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8478416"/>
        <c:axId val="800230240"/>
      </c:barChart>
      <c:lineChart>
        <c:grouping val="standard"/>
        <c:varyColors val="0"/>
        <c:ser>
          <c:idx val="2"/>
          <c:order val="2"/>
          <c:tx>
            <c:strRef>
              <c:f>'Revenue By Country'!$D$1</c:f>
              <c:strCache>
                <c:ptCount val="1"/>
                <c:pt idx="0">
                  <c:v>margin_percent</c:v>
                </c:pt>
              </c:strCache>
            </c:strRef>
          </c:tx>
          <c:spPr>
            <a:ln w="31750" cap="rnd">
              <a:solidFill>
                <a:srgbClr val="002060"/>
              </a:solidFill>
              <a:round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marker>
            <c:symbol val="none"/>
          </c:marker>
          <c:cat>
            <c:strRef>
              <c:f>'Revenue By Country'!$A$2:$A$9</c:f>
              <c:strCache>
                <c:ptCount val="8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Belgium</c:v>
                </c:pt>
                <c:pt idx="4">
                  <c:v>Netherlands</c:v>
                </c:pt>
                <c:pt idx="5">
                  <c:v>Spain</c:v>
                </c:pt>
                <c:pt idx="6">
                  <c:v>Poland</c:v>
                </c:pt>
                <c:pt idx="7">
                  <c:v>Austria</c:v>
                </c:pt>
              </c:strCache>
            </c:strRef>
          </c:cat>
          <c:val>
            <c:numRef>
              <c:f>'Revenue By Country'!$D$2:$D$9</c:f>
              <c:numCache>
                <c:formatCode>General</c:formatCode>
                <c:ptCount val="8"/>
                <c:pt idx="0">
                  <c:v>28.018999999999998</c:v>
                </c:pt>
                <c:pt idx="1">
                  <c:v>27.986000000000001</c:v>
                </c:pt>
                <c:pt idx="2">
                  <c:v>28.100999999999999</c:v>
                </c:pt>
                <c:pt idx="3">
                  <c:v>28.158999999999999</c:v>
                </c:pt>
                <c:pt idx="4">
                  <c:v>27.981999999999999</c:v>
                </c:pt>
                <c:pt idx="5">
                  <c:v>27.838000000000001</c:v>
                </c:pt>
                <c:pt idx="6">
                  <c:v>28.064</c:v>
                </c:pt>
                <c:pt idx="7">
                  <c:v>28.163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C0-41D8-8E69-D050C3393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571152"/>
        <c:axId val="836682272"/>
      </c:lineChart>
      <c:catAx>
        <c:axId val="7984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230240"/>
        <c:crosses val="autoZero"/>
        <c:auto val="1"/>
        <c:lblAlgn val="ctr"/>
        <c:lblOffset val="100"/>
        <c:noMultiLvlLbl val="0"/>
      </c:catAx>
      <c:valAx>
        <c:axId val="80023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78416"/>
        <c:crosses val="autoZero"/>
        <c:crossBetween val="between"/>
      </c:valAx>
      <c:valAx>
        <c:axId val="8366822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571152"/>
        <c:crosses val="max"/>
        <c:crossBetween val="between"/>
      </c:valAx>
      <c:catAx>
        <c:axId val="829571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6682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chart" Target="../charts/chart4.xml"/><Relationship Id="rId11" Type="http://schemas.openxmlformats.org/officeDocument/2006/relationships/image" Target="../media/image6.jpeg"/><Relationship Id="rId5" Type="http://schemas.openxmlformats.org/officeDocument/2006/relationships/chart" Target="../charts/chart3.xml"/><Relationship Id="rId10" Type="http://schemas.openxmlformats.org/officeDocument/2006/relationships/image" Target="../media/image5.jpg"/><Relationship Id="rId4" Type="http://schemas.openxmlformats.org/officeDocument/2006/relationships/chart" Target="../charts/chart2.xml"/><Relationship Id="rId9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85724</xdr:colOff>
      <xdr:row>44</xdr:row>
      <xdr:rowOff>9525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ED416B3-2094-583D-E40C-55A1E3E1270E}"/>
            </a:ext>
          </a:extLst>
        </xdr:cNvPr>
        <xdr:cNvSpPr/>
      </xdr:nvSpPr>
      <xdr:spPr>
        <a:xfrm>
          <a:off x="0" y="0"/>
          <a:ext cx="12430124" cy="7981950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5</xdr:row>
      <xdr:rowOff>19049</xdr:rowOff>
    </xdr:from>
    <xdr:to>
      <xdr:col>12</xdr:col>
      <xdr:colOff>381000</xdr:colOff>
      <xdr:row>6</xdr:row>
      <xdr:rowOff>57149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E5134CA-7FE1-B020-A61C-E17D0D64D991}"/>
            </a:ext>
          </a:extLst>
        </xdr:cNvPr>
        <xdr:cNvSpPr/>
      </xdr:nvSpPr>
      <xdr:spPr>
        <a:xfrm>
          <a:off x="9525" y="933449"/>
          <a:ext cx="8601075" cy="21907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bg1"/>
              </a:solidFill>
              <a:latin typeface="Arial Narrow" panose="020B0606020202030204" pitchFamily="34" charset="0"/>
            </a:rPr>
            <a:t>Performance Dashboard |</a:t>
          </a:r>
          <a:r>
            <a:rPr lang="en-US" sz="1100" baseline="0">
              <a:solidFill>
                <a:schemeClr val="bg1"/>
              </a:solidFill>
              <a:latin typeface="Arial Narrow" panose="020B0606020202030204" pitchFamily="34" charset="0"/>
            </a:rPr>
            <a:t> 2024-2025</a:t>
          </a:r>
          <a:endParaRPr lang="en-US" sz="1100">
            <a:solidFill>
              <a:schemeClr val="bg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17</xdr:col>
      <xdr:colOff>666750</xdr:colOff>
      <xdr:row>5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5435E7-AA1D-E902-0595-C7F00418565B}"/>
            </a:ext>
          </a:extLst>
        </xdr:cNvPr>
        <xdr:cNvSpPr/>
      </xdr:nvSpPr>
      <xdr:spPr>
        <a:xfrm>
          <a:off x="9525" y="0"/>
          <a:ext cx="12315825" cy="93345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r>
            <a:rPr lang="en-US" sz="2000">
              <a:latin typeface="+mn-lt"/>
            </a:rPr>
            <a:t>                 ST</a:t>
          </a:r>
          <a:r>
            <a:rPr lang="en-US" sz="2000" baseline="0">
              <a:latin typeface="+mn-lt"/>
            </a:rPr>
            <a:t> PADRE PIO PHARMACEUTICALS</a:t>
          </a:r>
          <a:endParaRPr lang="en-US" sz="2000">
            <a:latin typeface="+mn-lt"/>
          </a:endParaRPr>
        </a:p>
      </xdr:txBody>
    </xdr:sp>
    <xdr:clientData/>
  </xdr:twoCellAnchor>
  <xdr:twoCellAnchor editAs="oneCell">
    <xdr:from>
      <xdr:col>1</xdr:col>
      <xdr:colOff>140528</xdr:colOff>
      <xdr:row>2</xdr:row>
      <xdr:rowOff>57151</xdr:rowOff>
    </xdr:from>
    <xdr:to>
      <xdr:col>2</xdr:col>
      <xdr:colOff>257175</xdr:colOff>
      <xdr:row>5</xdr:row>
      <xdr:rowOff>104776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5A7764-3E4C-474E-5E80-B5B01CC67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328" y="428626"/>
          <a:ext cx="802447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465905</xdr:colOff>
      <xdr:row>4</xdr:row>
      <xdr:rowOff>146308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CB52CD-C270-EC8D-8214-B6C127AE5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151705" cy="879733"/>
        </a:xfrm>
        <a:prstGeom prst="rect">
          <a:avLst/>
        </a:prstGeom>
      </xdr:spPr>
    </xdr:pic>
    <xdr:clientData/>
  </xdr:twoCellAnchor>
  <xdr:twoCellAnchor>
    <xdr:from>
      <xdr:col>0</xdr:col>
      <xdr:colOff>638175</xdr:colOff>
      <xdr:row>7</xdr:row>
      <xdr:rowOff>142875</xdr:rowOff>
    </xdr:from>
    <xdr:to>
      <xdr:col>4</xdr:col>
      <xdr:colOff>19050</xdr:colOff>
      <xdr:row>13</xdr:row>
      <xdr:rowOff>66675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CE27C6A-54F7-A0B9-7BAC-77A5BFE6D27C}"/>
            </a:ext>
          </a:extLst>
        </xdr:cNvPr>
        <xdr:cNvSpPr/>
      </xdr:nvSpPr>
      <xdr:spPr>
        <a:xfrm>
          <a:off x="638175" y="1419225"/>
          <a:ext cx="2124075" cy="1009650"/>
        </a:xfrm>
        <a:prstGeom prst="rect">
          <a:avLst/>
        </a:prstGeom>
        <a:ln>
          <a:solidFill>
            <a:schemeClr val="bg2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676275</xdr:colOff>
      <xdr:row>8</xdr:row>
      <xdr:rowOff>1</xdr:rowOff>
    </xdr:from>
    <xdr:to>
      <xdr:col>4</xdr:col>
      <xdr:colOff>9525</xdr:colOff>
      <xdr:row>13</xdr:row>
      <xdr:rowOff>47626</xdr:rowOff>
    </xdr:to>
    <xdr:sp macro="" textlink="KPIs!B5">
      <xdr:nvSpPr>
        <xdr:cNvPr id="40" name="TextBox 39">
          <a:extLst>
            <a:ext uri="{FF2B5EF4-FFF2-40B4-BE49-F238E27FC236}">
              <a16:creationId xmlns:a16="http://schemas.microsoft.com/office/drawing/2014/main" id="{0B74C825-93F1-3EE2-94B5-FD2FE45629C7}"/>
            </a:ext>
          </a:extLst>
        </xdr:cNvPr>
        <xdr:cNvSpPr txBox="1"/>
      </xdr:nvSpPr>
      <xdr:spPr>
        <a:xfrm>
          <a:off x="676275" y="1457326"/>
          <a:ext cx="2076450" cy="952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ADABD99-F06B-4955-9E82-719F8E9EF3E7}" type="TxLink">
            <a:rPr lang="en-US" sz="2000" b="0" i="0" u="none" strike="noStrike">
              <a:solidFill>
                <a:srgbClr val="000000"/>
              </a:solidFill>
              <a:latin typeface="Calisto MT"/>
            </a:rPr>
            <a:pPr/>
            <a:t>8.6M</a:t>
          </a:fld>
          <a:endParaRPr lang="en-US" sz="2000" b="0" i="0" u="none" strike="noStrike">
            <a:solidFill>
              <a:srgbClr val="000000"/>
            </a:solidFill>
            <a:latin typeface="Calisto MT"/>
          </a:endParaRPr>
        </a:p>
        <a:p>
          <a:endParaRPr lang="en-US" sz="2000" b="0" i="0" u="none" strike="noStrike">
            <a:solidFill>
              <a:srgbClr val="000000"/>
            </a:solidFill>
            <a:latin typeface="Calisto MT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676275</xdr:colOff>
      <xdr:row>10</xdr:row>
      <xdr:rowOff>38100</xdr:rowOff>
    </xdr:from>
    <xdr:to>
      <xdr:col>2</xdr:col>
      <xdr:colOff>619125</xdr:colOff>
      <xdr:row>11</xdr:row>
      <xdr:rowOff>85725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6C6FD6D-1D50-D0C1-BB5F-926C3C344C03}"/>
            </a:ext>
          </a:extLst>
        </xdr:cNvPr>
        <xdr:cNvSpPr txBox="1"/>
      </xdr:nvSpPr>
      <xdr:spPr>
        <a:xfrm>
          <a:off x="676275" y="1857375"/>
          <a:ext cx="131445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Total Revenue</a:t>
          </a:r>
        </a:p>
      </xdr:txBody>
    </xdr:sp>
    <xdr:clientData/>
  </xdr:twoCellAnchor>
  <xdr:twoCellAnchor>
    <xdr:from>
      <xdr:col>13</xdr:col>
      <xdr:colOff>219075</xdr:colOff>
      <xdr:row>7</xdr:row>
      <xdr:rowOff>161925</xdr:rowOff>
    </xdr:from>
    <xdr:to>
      <xdr:col>16</xdr:col>
      <xdr:colOff>285750</xdr:colOff>
      <xdr:row>13</xdr:row>
      <xdr:rowOff>85725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E405157-073E-4F8C-B0D9-667176EDEA6B}"/>
            </a:ext>
          </a:extLst>
        </xdr:cNvPr>
        <xdr:cNvSpPr/>
      </xdr:nvSpPr>
      <xdr:spPr>
        <a:xfrm>
          <a:off x="9134475" y="1438275"/>
          <a:ext cx="2124075" cy="1009650"/>
        </a:xfrm>
        <a:prstGeom prst="rect">
          <a:avLst/>
        </a:prstGeom>
        <a:ln>
          <a:solidFill>
            <a:schemeClr val="bg2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238125</xdr:colOff>
      <xdr:row>8</xdr:row>
      <xdr:rowOff>9525</xdr:rowOff>
    </xdr:from>
    <xdr:to>
      <xdr:col>12</xdr:col>
      <xdr:colOff>304800</xdr:colOff>
      <xdr:row>13</xdr:row>
      <xdr:rowOff>114300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C417163-6D56-4AEE-92E3-57FB2FF49C30}"/>
            </a:ext>
          </a:extLst>
        </xdr:cNvPr>
        <xdr:cNvSpPr/>
      </xdr:nvSpPr>
      <xdr:spPr>
        <a:xfrm>
          <a:off x="6410325" y="1466850"/>
          <a:ext cx="2124075" cy="1009650"/>
        </a:xfrm>
        <a:prstGeom prst="rect">
          <a:avLst/>
        </a:prstGeom>
        <a:ln>
          <a:solidFill>
            <a:schemeClr val="bg2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57150</xdr:colOff>
      <xdr:row>7</xdr:row>
      <xdr:rowOff>152400</xdr:rowOff>
    </xdr:from>
    <xdr:to>
      <xdr:col>8</xdr:col>
      <xdr:colOff>123825</xdr:colOff>
      <xdr:row>13</xdr:row>
      <xdr:rowOff>76200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16208CD5-13D1-4CAC-B775-E1FFA7F001AB}"/>
            </a:ext>
          </a:extLst>
        </xdr:cNvPr>
        <xdr:cNvSpPr/>
      </xdr:nvSpPr>
      <xdr:spPr>
        <a:xfrm>
          <a:off x="3486150" y="1428750"/>
          <a:ext cx="2124075" cy="1009650"/>
        </a:xfrm>
        <a:prstGeom prst="rect">
          <a:avLst/>
        </a:prstGeom>
        <a:ln>
          <a:solidFill>
            <a:schemeClr val="bg2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609600</xdr:colOff>
      <xdr:row>12</xdr:row>
      <xdr:rowOff>19050</xdr:rowOff>
    </xdr:from>
    <xdr:to>
      <xdr:col>2</xdr:col>
      <xdr:colOff>400050</xdr:colOff>
      <xdr:row>12</xdr:row>
      <xdr:rowOff>64769</xdr:rowOff>
    </xdr:to>
    <xdr:sp macro="" textlink="">
      <xdr:nvSpPr>
        <xdr:cNvPr id="3" name="Minus Sign 2">
          <a:extLst>
            <a:ext uri="{FF2B5EF4-FFF2-40B4-BE49-F238E27FC236}">
              <a16:creationId xmlns:a16="http://schemas.microsoft.com/office/drawing/2014/main" id="{B60126B1-2A93-D001-C101-C97792252724}"/>
            </a:ext>
          </a:extLst>
        </xdr:cNvPr>
        <xdr:cNvSpPr/>
      </xdr:nvSpPr>
      <xdr:spPr>
        <a:xfrm>
          <a:off x="609600" y="2200275"/>
          <a:ext cx="1162050" cy="45719"/>
        </a:xfrm>
        <a:prstGeom prst="mathMinus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161925</xdr:colOff>
      <xdr:row>8</xdr:row>
      <xdr:rowOff>66675</xdr:rowOff>
    </xdr:from>
    <xdr:to>
      <xdr:col>6</xdr:col>
      <xdr:colOff>657225</xdr:colOff>
      <xdr:row>10</xdr:row>
      <xdr:rowOff>66675</xdr:rowOff>
    </xdr:to>
    <xdr:sp macro="" textlink="KPIs!$D$5">
      <xdr:nvSpPr>
        <xdr:cNvPr id="4" name="TextBox 3">
          <a:extLst>
            <a:ext uri="{FF2B5EF4-FFF2-40B4-BE49-F238E27FC236}">
              <a16:creationId xmlns:a16="http://schemas.microsoft.com/office/drawing/2014/main" id="{A84B3D6F-B932-5237-A521-B744557D81DF}"/>
            </a:ext>
          </a:extLst>
        </xdr:cNvPr>
        <xdr:cNvSpPr txBox="1"/>
      </xdr:nvSpPr>
      <xdr:spPr>
        <a:xfrm>
          <a:off x="3590925" y="1524000"/>
          <a:ext cx="1181100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6DEE03C-2F82-4088-9C9C-664A3F685697}" type="TxLink">
            <a:rPr lang="en-US" sz="2000" b="0" i="0" u="none" strike="noStrike">
              <a:solidFill>
                <a:srgbClr val="000000"/>
              </a:solidFill>
              <a:latin typeface="Calisto MT"/>
              <a:ea typeface="+mn-ea"/>
              <a:cs typeface="+mn-cs"/>
            </a:rPr>
            <a:pPr marL="0" indent="0"/>
            <a:t>28.04%</a:t>
          </a:fld>
          <a:endParaRPr lang="en-US" sz="2000" b="0" i="0" u="none" strike="noStrike">
            <a:solidFill>
              <a:srgbClr val="000000"/>
            </a:solidFill>
            <a:latin typeface="Calisto M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190500</xdr:colOff>
      <xdr:row>10</xdr:row>
      <xdr:rowOff>133350</xdr:rowOff>
    </xdr:from>
    <xdr:to>
      <xdr:col>7</xdr:col>
      <xdr:colOff>190500</xdr:colOff>
      <xdr:row>12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801845-D6E5-0A00-AF88-B23B461B1D6F}"/>
            </a:ext>
          </a:extLst>
        </xdr:cNvPr>
        <xdr:cNvSpPr txBox="1"/>
      </xdr:nvSpPr>
      <xdr:spPr>
        <a:xfrm>
          <a:off x="3619500" y="1952625"/>
          <a:ext cx="13716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Overall </a:t>
          </a:r>
          <a:r>
            <a:rPr lang="en-US" sz="1100" baseline="0"/>
            <a:t>Margin %</a:t>
          </a:r>
          <a:endParaRPr lang="en-US" sz="1100"/>
        </a:p>
      </xdr:txBody>
    </xdr:sp>
    <xdr:clientData/>
  </xdr:twoCellAnchor>
  <xdr:twoCellAnchor>
    <xdr:from>
      <xdr:col>5</xdr:col>
      <xdr:colOff>152400</xdr:colOff>
      <xdr:row>12</xdr:row>
      <xdr:rowOff>68581</xdr:rowOff>
    </xdr:from>
    <xdr:to>
      <xdr:col>6</xdr:col>
      <xdr:colOff>600075</xdr:colOff>
      <xdr:row>12</xdr:row>
      <xdr:rowOff>114300</xdr:rowOff>
    </xdr:to>
    <xdr:sp macro="" textlink="">
      <xdr:nvSpPr>
        <xdr:cNvPr id="7" name="Minus Sign 6">
          <a:extLst>
            <a:ext uri="{FF2B5EF4-FFF2-40B4-BE49-F238E27FC236}">
              <a16:creationId xmlns:a16="http://schemas.microsoft.com/office/drawing/2014/main" id="{D2CF7F13-EDF4-5205-BE19-CA3CC522F5E2}"/>
            </a:ext>
          </a:extLst>
        </xdr:cNvPr>
        <xdr:cNvSpPr/>
      </xdr:nvSpPr>
      <xdr:spPr>
        <a:xfrm>
          <a:off x="3581400" y="2249806"/>
          <a:ext cx="1133475" cy="45719"/>
        </a:xfrm>
        <a:prstGeom prst="mathMinus">
          <a:avLst/>
        </a:prstGeom>
        <a:ln>
          <a:solidFill>
            <a:srgbClr val="6C88FF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381000</xdr:colOff>
      <xdr:row>8</xdr:row>
      <xdr:rowOff>38101</xdr:rowOff>
    </xdr:from>
    <xdr:to>
      <xdr:col>11</xdr:col>
      <xdr:colOff>0</xdr:colOff>
      <xdr:row>10</xdr:row>
      <xdr:rowOff>95251</xdr:rowOff>
    </xdr:to>
    <xdr:sp macro="" textlink="KPIs!H5">
      <xdr:nvSpPr>
        <xdr:cNvPr id="8" name="TextBox 7">
          <a:extLst>
            <a:ext uri="{FF2B5EF4-FFF2-40B4-BE49-F238E27FC236}">
              <a16:creationId xmlns:a16="http://schemas.microsoft.com/office/drawing/2014/main" id="{D3186249-346E-6DE9-D109-245F118C7196}"/>
            </a:ext>
          </a:extLst>
        </xdr:cNvPr>
        <xdr:cNvSpPr txBox="1"/>
      </xdr:nvSpPr>
      <xdr:spPr>
        <a:xfrm>
          <a:off x="6553200" y="1495426"/>
          <a:ext cx="990600" cy="419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D52F726-5058-450E-B214-7F21D42FD88D}" type="TxLink">
            <a:rPr lang="en-US" sz="2000" b="0" i="0" u="none" strike="noStrike">
              <a:solidFill>
                <a:srgbClr val="000000"/>
              </a:solidFill>
              <a:latin typeface="Calisto MT"/>
            </a:rPr>
            <a:pPr/>
            <a:t>Austria</a:t>
          </a:fld>
          <a:endParaRPr lang="en-US" sz="1100"/>
        </a:p>
      </xdr:txBody>
    </xdr:sp>
    <xdr:clientData/>
  </xdr:twoCellAnchor>
  <xdr:twoCellAnchor>
    <xdr:from>
      <xdr:col>9</xdr:col>
      <xdr:colOff>381000</xdr:colOff>
      <xdr:row>10</xdr:row>
      <xdr:rowOff>95250</xdr:rowOff>
    </xdr:from>
    <xdr:to>
      <xdr:col>12</xdr:col>
      <xdr:colOff>85725</xdr:colOff>
      <xdr:row>12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502F906-7258-E478-3A2B-72EB6F7DAAEC}"/>
            </a:ext>
          </a:extLst>
        </xdr:cNvPr>
        <xdr:cNvSpPr txBox="1"/>
      </xdr:nvSpPr>
      <xdr:spPr>
        <a:xfrm>
          <a:off x="6553200" y="1914525"/>
          <a:ext cx="176212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Highest</a:t>
          </a:r>
          <a:r>
            <a:rPr lang="en-US" sz="1100" baseline="0"/>
            <a:t> Selling Country</a:t>
          </a:r>
          <a:endParaRPr lang="en-US" sz="1100"/>
        </a:p>
      </xdr:txBody>
    </xdr:sp>
    <xdr:clientData/>
  </xdr:twoCellAnchor>
  <xdr:twoCellAnchor>
    <xdr:from>
      <xdr:col>9</xdr:col>
      <xdr:colOff>304800</xdr:colOff>
      <xdr:row>12</xdr:row>
      <xdr:rowOff>85725</xdr:rowOff>
    </xdr:from>
    <xdr:to>
      <xdr:col>11</xdr:col>
      <xdr:colOff>152400</xdr:colOff>
      <xdr:row>12</xdr:row>
      <xdr:rowOff>131444</xdr:rowOff>
    </xdr:to>
    <xdr:sp macro="" textlink="">
      <xdr:nvSpPr>
        <xdr:cNvPr id="10" name="Minus Sign 9">
          <a:extLst>
            <a:ext uri="{FF2B5EF4-FFF2-40B4-BE49-F238E27FC236}">
              <a16:creationId xmlns:a16="http://schemas.microsoft.com/office/drawing/2014/main" id="{F917900D-7C04-C892-373B-6BF05FD33ADE}"/>
            </a:ext>
          </a:extLst>
        </xdr:cNvPr>
        <xdr:cNvSpPr/>
      </xdr:nvSpPr>
      <xdr:spPr>
        <a:xfrm>
          <a:off x="6477000" y="2266950"/>
          <a:ext cx="1219200" cy="45719"/>
        </a:xfrm>
        <a:prstGeom prst="mathMinus">
          <a:avLst/>
        </a:prstGeom>
        <a:solidFill>
          <a:srgbClr val="6C88FF"/>
        </a:solidFill>
        <a:ln>
          <a:solidFill>
            <a:srgbClr val="57EA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466725</xdr:colOff>
      <xdr:row>8</xdr:row>
      <xdr:rowOff>19050</xdr:rowOff>
    </xdr:from>
    <xdr:to>
      <xdr:col>16</xdr:col>
      <xdr:colOff>85725</xdr:colOff>
      <xdr:row>10</xdr:row>
      <xdr:rowOff>9525</xdr:rowOff>
    </xdr:to>
    <xdr:sp macro="" textlink="KPIs!M5">
      <xdr:nvSpPr>
        <xdr:cNvPr id="11" name="TextBox 10">
          <a:extLst>
            <a:ext uri="{FF2B5EF4-FFF2-40B4-BE49-F238E27FC236}">
              <a16:creationId xmlns:a16="http://schemas.microsoft.com/office/drawing/2014/main" id="{76885DA1-BA22-9C3A-9C7F-AAC838B7F591}"/>
            </a:ext>
          </a:extLst>
        </xdr:cNvPr>
        <xdr:cNvSpPr txBox="1"/>
      </xdr:nvSpPr>
      <xdr:spPr>
        <a:xfrm>
          <a:off x="9382125" y="1476375"/>
          <a:ext cx="1676400" cy="352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F27BA65-05F7-49F3-A2F3-229109200E91}" type="TxLink">
            <a:rPr lang="en-US" sz="2000" b="0" i="0" u="none" strike="noStrike">
              <a:solidFill>
                <a:srgbClr val="000000"/>
              </a:solidFill>
              <a:latin typeface="Calisto MT"/>
            </a:rPr>
            <a:pPr/>
            <a:t>High Margin</a:t>
          </a:fld>
          <a:endParaRPr lang="en-US" sz="1100"/>
        </a:p>
      </xdr:txBody>
    </xdr:sp>
    <xdr:clientData/>
  </xdr:twoCellAnchor>
  <xdr:twoCellAnchor>
    <xdr:from>
      <xdr:col>13</xdr:col>
      <xdr:colOff>466725</xdr:colOff>
      <xdr:row>10</xdr:row>
      <xdr:rowOff>133350</xdr:rowOff>
    </xdr:from>
    <xdr:to>
      <xdr:col>15</xdr:col>
      <xdr:colOff>657225</xdr:colOff>
      <xdr:row>12</xdr:row>
      <xdr:rowOff>47625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C720C1-35FE-05D1-C891-BD8E40E4BDE1}"/>
            </a:ext>
          </a:extLst>
        </xdr:cNvPr>
        <xdr:cNvSpPr txBox="1"/>
      </xdr:nvSpPr>
      <xdr:spPr>
        <a:xfrm>
          <a:off x="9382125" y="1952625"/>
          <a:ext cx="15621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Top</a:t>
          </a:r>
          <a:r>
            <a:rPr lang="en-US" sz="1100" baseline="0"/>
            <a:t> Margin Band</a:t>
          </a:r>
          <a:endParaRPr lang="en-US" sz="1100"/>
        </a:p>
      </xdr:txBody>
    </xdr:sp>
    <xdr:clientData/>
  </xdr:twoCellAnchor>
  <xdr:twoCellAnchor>
    <xdr:from>
      <xdr:col>7</xdr:col>
      <xdr:colOff>190500</xdr:colOff>
      <xdr:row>14</xdr:row>
      <xdr:rowOff>161925</xdr:rowOff>
    </xdr:from>
    <xdr:to>
      <xdr:col>13</xdr:col>
      <xdr:colOff>85725</xdr:colOff>
      <xdr:row>25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4A758E6-526A-475D-AC9D-04887FB15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400049</xdr:colOff>
      <xdr:row>14</xdr:row>
      <xdr:rowOff>104775</xdr:rowOff>
    </xdr:from>
    <xdr:to>
      <xdr:col>17</xdr:col>
      <xdr:colOff>247650</xdr:colOff>
      <xdr:row>25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CD03C1E-0FCC-4555-89BD-ADD6C989C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361949</xdr:colOff>
      <xdr:row>26</xdr:row>
      <xdr:rowOff>142876</xdr:rowOff>
    </xdr:from>
    <xdr:to>
      <xdr:col>17</xdr:col>
      <xdr:colOff>647700</xdr:colOff>
      <xdr:row>37</xdr:row>
      <xdr:rowOff>57150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9E044D4-B71B-4725-81E1-D6E8F7714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409576</xdr:colOff>
      <xdr:row>26</xdr:row>
      <xdr:rowOff>161925</xdr:rowOff>
    </xdr:from>
    <xdr:to>
      <xdr:col>7</xdr:col>
      <xdr:colOff>104776</xdr:colOff>
      <xdr:row>37</xdr:row>
      <xdr:rowOff>66675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C111C9B-B123-402D-8550-B243A2103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276225</xdr:colOff>
      <xdr:row>26</xdr:row>
      <xdr:rowOff>142875</xdr:rowOff>
    </xdr:from>
    <xdr:to>
      <xdr:col>13</xdr:col>
      <xdr:colOff>66675</xdr:colOff>
      <xdr:row>37</xdr:row>
      <xdr:rowOff>57150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2230F28-9345-4829-9489-9319860CB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371475</xdr:colOff>
      <xdr:row>14</xdr:row>
      <xdr:rowOff>142875</xdr:rowOff>
    </xdr:from>
    <xdr:to>
      <xdr:col>7</xdr:col>
      <xdr:colOff>38100</xdr:colOff>
      <xdr:row>25</xdr:row>
      <xdr:rowOff>114300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E8ED47F-1C0F-4E3A-BEEA-C56B71267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390525</xdr:colOff>
      <xdr:row>12</xdr:row>
      <xdr:rowOff>78106</xdr:rowOff>
    </xdr:from>
    <xdr:to>
      <xdr:col>15</xdr:col>
      <xdr:colOff>266701</xdr:colOff>
      <xdr:row>12</xdr:row>
      <xdr:rowOff>123825</xdr:rowOff>
    </xdr:to>
    <xdr:sp macro="" textlink="">
      <xdr:nvSpPr>
        <xdr:cNvPr id="14" name="Minus Sign 13">
          <a:extLst>
            <a:ext uri="{FF2B5EF4-FFF2-40B4-BE49-F238E27FC236}">
              <a16:creationId xmlns:a16="http://schemas.microsoft.com/office/drawing/2014/main" id="{52DD3C7E-B865-4CF4-314B-6F6251BDB9CC}"/>
            </a:ext>
          </a:extLst>
        </xdr:cNvPr>
        <xdr:cNvSpPr/>
      </xdr:nvSpPr>
      <xdr:spPr>
        <a:xfrm>
          <a:off x="9305925" y="2259331"/>
          <a:ext cx="1247776" cy="45719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171450</xdr:colOff>
      <xdr:row>7</xdr:row>
      <xdr:rowOff>85725</xdr:rowOff>
    </xdr:from>
    <xdr:to>
      <xdr:col>12</xdr:col>
      <xdr:colOff>371475</xdr:colOff>
      <xdr:row>11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51E63EE-D160-4357-82DE-D72B52616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362075"/>
          <a:ext cx="885825" cy="6572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</xdr:row>
      <xdr:rowOff>28576</xdr:rowOff>
    </xdr:from>
    <xdr:to>
      <xdr:col>4</xdr:col>
      <xdr:colOff>31749</xdr:colOff>
      <xdr:row>11</xdr:row>
      <xdr:rowOff>3175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4DD4E6F-881F-4C32-8CA9-AC0B30602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1304926"/>
          <a:ext cx="698499" cy="698499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7</xdr:row>
      <xdr:rowOff>152400</xdr:rowOff>
    </xdr:from>
    <xdr:to>
      <xdr:col>8</xdr:col>
      <xdr:colOff>142875</xdr:colOff>
      <xdr:row>10</xdr:row>
      <xdr:rowOff>57150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E20E8A4-2AD2-45B9-AB0B-AD234CD03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428750"/>
          <a:ext cx="447675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9524</xdr:rowOff>
    </xdr:from>
    <xdr:to>
      <xdr:col>13</xdr:col>
      <xdr:colOff>152400</xdr:colOff>
      <xdr:row>29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00A6BF-C1DC-4442-44FF-2C345BCF73BA}"/>
            </a:ext>
          </a:extLst>
        </xdr:cNvPr>
        <xdr:cNvSpPr txBox="1"/>
      </xdr:nvSpPr>
      <xdr:spPr>
        <a:xfrm>
          <a:off x="9525" y="9524"/>
          <a:ext cx="9058275" cy="5381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b="1"/>
        </a:p>
        <a:p>
          <a:endParaRPr lang="en-US" b="1"/>
        </a:p>
        <a:p>
          <a:r>
            <a:rPr lang="en-US" b="1"/>
            <a:t>Insights: St Padre Pio Pharmaceuticals</a:t>
          </a:r>
          <a:br>
            <a:rPr lang="en-US"/>
          </a:br>
          <a:r>
            <a:rPr lang="en-US"/>
            <a:t>This dashboard analyzes retail pharmacy sales for St Padre Pio Pharmaceuticals, an imaginary company that sells across 8 European countries. This company was built for portfolio purposes and logo, color palattes and the company name were only created to make the presentation feel real . The underlying dataset was sourced from Kaggle, with select business questions extracted and modeled using SQL prior to visualization.</a:t>
          </a:r>
          <a:br>
            <a:rPr lang="en-US"/>
          </a:br>
          <a:endParaRPr lang="en-US"/>
        </a:p>
        <a:p>
          <a:r>
            <a:rPr lang="en-US" b="1"/>
            <a:t>1.</a:t>
          </a:r>
          <a:r>
            <a:rPr lang="en-US"/>
            <a:t>   </a:t>
          </a:r>
          <a:r>
            <a:rPr lang="en-US" b="1"/>
            <a:t>Austria brings the most income to the company: </a:t>
          </a:r>
          <a:r>
            <a:rPr lang="en-US"/>
            <a:t> Although Austria does not have the highest revenue, it stands out as the country with the highest margin% ,</a:t>
          </a:r>
          <a:r>
            <a:rPr lang="en-US" baseline="0"/>
            <a:t> which is just a few decimal points higher than Belgium.</a:t>
          </a:r>
          <a:br>
            <a:rPr lang="en-US"/>
          </a:br>
          <a:endParaRPr lang="en-US"/>
        </a:p>
        <a:p>
          <a:r>
            <a:rPr lang="en-US" b="1"/>
            <a:t>2. Promotions erode margin without driving meaningful volume:</a:t>
          </a:r>
          <a:r>
            <a:rPr lang="en-US"/>
            <a:t> Average margin drops substantially under promotion — from 40.0% without a promo to 24.4% with promo.  Transaction volume, meanwhile, barely moves: 7.19 units per transaction without a promo versus 7.02 with one, a difference of just 0.17.  This implies that, promotions increase sales insignificantly but not margin%. They instead significantly and negatively affect margin%.</a:t>
          </a:r>
          <a:br>
            <a:rPr lang="en-US"/>
          </a:br>
          <a:endParaRPr lang="en-US"/>
        </a:p>
        <a:p>
          <a:r>
            <a:rPr lang="en-US" b="1"/>
            <a:t>3. Brand-name products outperform generics on both revenue and margin:</a:t>
          </a:r>
          <a:r>
            <a:rPr lang="en-US"/>
            <a:t> Brand-name (non-generic) products account for 85% of total revenue and carry a margin of 28.5% — roughly 3 percentage points higher than generic products (25.5%). Brand-name items are the stronger performer on both volume and profitability.</a:t>
          </a:r>
          <a:br>
            <a:rPr lang="en-US"/>
          </a:br>
          <a:endParaRPr lang="en-US"/>
        </a:p>
        <a:p>
          <a:r>
            <a:rPr lang="en-US" b="1"/>
            <a:t>4. Margin band performance: a small share of transactions drives most of the revenue:</a:t>
          </a:r>
          <a:r>
            <a:rPr lang="en-US"/>
            <a:t> Low-margin transactions have the highest transaction count but contribute the least revenue. High-margin transactions, by contrast, make up just 27% of all sales but generate 56% of total revenue.</a:t>
          </a:r>
          <a:br>
            <a:rPr lang="en-US"/>
          </a:br>
          <a:endParaRPr lang="en-US"/>
        </a:p>
        <a:p>
          <a:r>
            <a:rPr lang="en-US" b="1"/>
            <a:t>5. Revenue is stable, not growing:</a:t>
          </a:r>
          <a:r>
            <a:rPr lang="en-US"/>
            <a:t> Monthly revenue held relatively steady from 2024–2025, with mild seasonal upticks in June–August. There's no sustained growth trend — the business shows  consistent sale patterns. Meaning that the current marketing and sales strategies are maintaining the business not growing it.</a:t>
          </a:r>
          <a:br>
            <a:rPr lang="en-US"/>
          </a:br>
          <a:endParaRPr lang="en-US"/>
        </a:p>
        <a:p>
          <a:r>
            <a:rPr lang="en-US" b="1"/>
            <a:t>Conclusion</a:t>
          </a:r>
          <a:br>
            <a:rPr lang="en-US"/>
          </a:br>
          <a:endParaRPr lang="en-US"/>
        </a:p>
        <a:p>
          <a:r>
            <a:rPr lang="en-US"/>
            <a:t>In conclusion, the company is performing adequately in terms of sales and promotional activity, but they are not growing in terms of revenue.</a:t>
          </a:r>
          <a:br>
            <a:rPr lang="en-US"/>
          </a:br>
          <a:r>
            <a:rPr lang="en-US"/>
            <a:t> </a:t>
          </a:r>
          <a:br>
            <a:rPr lang="en-US"/>
          </a:br>
          <a:r>
            <a:rPr lang="en-US"/>
            <a:t>Therefore, the recommendation for the company is not to pursue an increase in the quantity of goods, but rather to focus on the quality of goods and services</a:t>
          </a:r>
          <a:r>
            <a:rPr lang="en-US" baseline="0"/>
            <a:t> by </a:t>
          </a:r>
          <a:r>
            <a:rPr lang="en-US"/>
            <a:t>restructuring their priorities in favor of high-margin products, branded products and reconsidering promotional activities.</a:t>
          </a:r>
          <a:br>
            <a:rPr lang="en-US"/>
          </a:br>
          <a:r>
            <a:rPr lang="en-US"/>
            <a:t> </a:t>
          </a:r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9525</xdr:rowOff>
    </xdr:from>
    <xdr:to>
      <xdr:col>13</xdr:col>
      <xdr:colOff>142875</xdr:colOff>
      <xdr:row>1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9DC59B1-BBF2-4CB8-9BB2-63B55FC8EE16}"/>
            </a:ext>
          </a:extLst>
        </xdr:cNvPr>
        <xdr:cNvSpPr/>
      </xdr:nvSpPr>
      <xdr:spPr>
        <a:xfrm>
          <a:off x="9525" y="9525"/>
          <a:ext cx="9048750" cy="2286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bg1"/>
              </a:solidFill>
              <a:latin typeface="Arial Narrow" panose="020B0606020202030204" pitchFamily="34" charset="0"/>
            </a:rPr>
            <a:t>Dashboard</a:t>
          </a:r>
          <a:r>
            <a:rPr lang="en-US" sz="1100" baseline="0">
              <a:solidFill>
                <a:schemeClr val="bg1"/>
              </a:solidFill>
              <a:latin typeface="Arial Narrow" panose="020B0606020202030204" pitchFamily="34" charset="0"/>
            </a:rPr>
            <a:t> Insights</a:t>
          </a:r>
          <a:r>
            <a:rPr lang="en-US" sz="1100">
              <a:solidFill>
                <a:schemeClr val="bg1"/>
              </a:solidFill>
              <a:latin typeface="Arial Narrow" panose="020B0606020202030204" pitchFamily="34" charset="0"/>
            </a:rPr>
            <a:t> |</a:t>
          </a:r>
          <a:r>
            <a:rPr lang="en-US" sz="1100" baseline="0">
              <a:solidFill>
                <a:schemeClr val="bg1"/>
              </a:solidFill>
              <a:latin typeface="Arial Narrow" panose="020B0606020202030204" pitchFamily="34" charset="0"/>
            </a:rPr>
            <a:t> 2024-2025</a:t>
          </a:r>
          <a:endParaRPr lang="en-US" sz="1100">
            <a:solidFill>
              <a:schemeClr val="bg1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</xdr:colOff>
      <xdr:row>38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221EBFB-AEDF-DAD1-97E5-B148A938DD14}"/>
            </a:ext>
          </a:extLst>
        </xdr:cNvPr>
        <xdr:cNvSpPr/>
      </xdr:nvSpPr>
      <xdr:spPr>
        <a:xfrm>
          <a:off x="0" y="0"/>
          <a:ext cx="695325" cy="7505700"/>
        </a:xfrm>
        <a:prstGeom prst="rect">
          <a:avLst/>
        </a:prstGeom>
        <a:solidFill>
          <a:srgbClr val="57EAB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152401</xdr:rowOff>
    </xdr:from>
    <xdr:to>
      <xdr:col>1</xdr:col>
      <xdr:colOff>9525</xdr:colOff>
      <xdr:row>4</xdr:row>
      <xdr:rowOff>19051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705BEC-1C74-4FC6-AC59-57C0F29C1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52401"/>
          <a:ext cx="714375" cy="59055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0</xdr:row>
      <xdr:rowOff>9525</xdr:rowOff>
    </xdr:from>
    <xdr:to>
      <xdr:col>21</xdr:col>
      <xdr:colOff>114300</xdr:colOff>
      <xdr:row>3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B67453A-74A9-418C-0EA7-AE13EABFB4D1}"/>
            </a:ext>
          </a:extLst>
        </xdr:cNvPr>
        <xdr:cNvSpPr/>
      </xdr:nvSpPr>
      <xdr:spPr>
        <a:xfrm>
          <a:off x="723900" y="9525"/>
          <a:ext cx="15982950" cy="57150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28575</xdr:colOff>
      <xdr:row>0</xdr:row>
      <xdr:rowOff>76200</xdr:rowOff>
    </xdr:from>
    <xdr:to>
      <xdr:col>14</xdr:col>
      <xdr:colOff>628650</xdr:colOff>
      <xdr:row>2</xdr:row>
      <xdr:rowOff>104775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6171F59-AFC0-DD39-537C-428427BCF343}"/>
            </a:ext>
          </a:extLst>
        </xdr:cNvPr>
        <xdr:cNvSpPr txBox="1"/>
      </xdr:nvSpPr>
      <xdr:spPr>
        <a:xfrm>
          <a:off x="733425" y="76200"/>
          <a:ext cx="11687175" cy="390525"/>
        </a:xfrm>
        <a:prstGeom prst="rect">
          <a:avLst/>
        </a:prstGeom>
        <a:solidFill>
          <a:schemeClr val="tx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Total</a:t>
          </a:r>
          <a:r>
            <a:rPr lang="en-US" sz="1100" baseline="0"/>
            <a:t>  Revenue                                                                       Overall Margin%                                                 Top Country                                                                           Top Margin Band</a:t>
          </a:r>
          <a:endParaRPr lang="en-US" sz="1100"/>
        </a:p>
      </xdr:txBody>
    </xdr:sp>
    <xdr:clientData/>
  </xdr:twoCellAnchor>
  <xdr:twoCellAnchor editAs="oneCell">
    <xdr:from>
      <xdr:col>0</xdr:col>
      <xdr:colOff>0</xdr:colOff>
      <xdr:row>3</xdr:row>
      <xdr:rowOff>38100</xdr:rowOff>
    </xdr:from>
    <xdr:to>
      <xdr:col>1</xdr:col>
      <xdr:colOff>97597</xdr:colOff>
      <xdr:row>6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8648B1-E5CE-4451-AB24-EFB9D288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025"/>
          <a:ext cx="802447" cy="590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70731-643B-497F-9CCC-075EF2B165E9}" name="Table1" displayName="Table1" ref="A1:D9" totalsRowShown="0">
  <autoFilter ref="A1:D9" xr:uid="{C5D70731-643B-497F-9CCC-075EF2B165E9}"/>
  <sortState xmlns:xlrd2="http://schemas.microsoft.com/office/spreadsheetml/2017/richdata2" ref="A2:D9">
    <sortCondition descending="1" ref="B1:B9"/>
  </sortState>
  <tableColumns count="4">
    <tableColumn id="1" xr3:uid="{0651B8EE-2990-4F80-A4FA-9C2BFD39FDE7}" name="Country"/>
    <tableColumn id="2" xr3:uid="{D3C24658-3F00-45E4-AD31-142DE8510F09}" name="Total_revenue"/>
    <tableColumn id="3" xr3:uid="{AE76FFB6-A999-4414-84C2-983E3BE00A0F}" name="Total_margin"/>
    <tableColumn id="4" xr3:uid="{DE17286B-A85C-41EE-BC82-1F906EAC000E}" name="margin_percent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2F771-033D-4849-A010-004BE3AE6CAA}" name="Table2" displayName="Table2" ref="A1:C3" totalsRowShown="0">
  <autoFilter ref="A1:C3" xr:uid="{0402F771-033D-4849-A010-004BE3AE6CAA}"/>
  <tableColumns count="3">
    <tableColumn id="1" xr3:uid="{5D6433AE-5999-40E3-B9A7-A6BFB409757B}" name="Avg_units_sold"/>
    <tableColumn id="2" xr3:uid="{C58E9538-975C-487B-B330-F8D04C8A2AE2}" name="avg_margin"/>
    <tableColumn id="3" xr3:uid="{FD94D9B8-CDEF-4FA0-8B00-D608615E2DDD}" name="PromoFlag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0985CA-37E0-416E-8E08-93050D3BC768}" name="Table3" displayName="Table3" ref="A1:C4" totalsRowShown="0">
  <autoFilter ref="A1:C4" xr:uid="{EA0985CA-37E0-416E-8E08-93050D3BC768}"/>
  <sortState xmlns:xlrd2="http://schemas.microsoft.com/office/spreadsheetml/2017/richdata2" ref="A2:C4">
    <sortCondition ref="B1:B4"/>
  </sortState>
  <tableColumns count="3">
    <tableColumn id="1" xr3:uid="{E1350486-DCDE-4D4D-BC92-629D66CA6953}" name="Margin_Band"/>
    <tableColumn id="2" xr3:uid="{8172FDEA-3BBE-4D7F-99C7-F436C84AA035}" name="Transaction_Count"/>
    <tableColumn id="3" xr3:uid="{BFFB5E02-7F32-430D-AC85-64F1B363CA52}" name="Total_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782D4E-4874-4635-8788-B23FBD22C05C}" name="Table4" displayName="Table4" ref="A1:C3" totalsRowShown="0">
  <autoFilter ref="A1:C3" xr:uid="{73782D4E-4874-4635-8788-B23FBD22C05C}"/>
  <sortState xmlns:xlrd2="http://schemas.microsoft.com/office/spreadsheetml/2017/richdata2" ref="A2:C3">
    <sortCondition descending="1" ref="A1:A3"/>
  </sortState>
  <tableColumns count="3">
    <tableColumn id="1" xr3:uid="{9074B1A5-5784-4BFA-8F66-251D655F65CA}" name="Total_revenue"/>
    <tableColumn id="2" xr3:uid="{337F092F-F642-48B4-8FEE-27F2E3BBF2DE}" name="margin_percent"/>
    <tableColumn id="3" xr3:uid="{3D92D968-D479-4A7C-B456-8B089CF63241}" name="IsGener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E9C7C3-FFFC-4C76-8199-124E230D35FC}" name="Table7" displayName="Table7" ref="A1:B25" totalsRowShown="0">
  <autoFilter ref="A1:B25" xr:uid="{9EE9C7C3-FFFC-4C76-8199-124E230D35FC}"/>
  <tableColumns count="2">
    <tableColumn id="1" xr3:uid="{94D3B0D5-1111-427A-9D9B-248D3B73EBD3}" name="YearMonth"/>
    <tableColumn id="2" xr3:uid="{0FE3D34A-DE7F-430F-811B-EA9D6B13321A}" name="Total_Revenue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lat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late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lat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3CCF-3C4A-4FA6-BAB1-458CAC6967F1}">
  <sheetPr>
    <tabColor rgb="FF6C88FF"/>
    <pageSetUpPr fitToPage="1"/>
  </sheetPr>
  <dimension ref="A1"/>
  <sheetViews>
    <sheetView zoomScaleNormal="100" workbookViewId="0">
      <selection activeCell="I61" sqref="I61"/>
    </sheetView>
  </sheetViews>
  <sheetFormatPr defaultRowHeight="14.25" x14ac:dyDescent="0.2"/>
  <cols>
    <col min="1" max="16384" width="9" style="4"/>
  </cols>
  <sheetData>
    <row r="1" s="4" customFormat="1" ht="15" customHeight="1" x14ac:dyDescent="0.2"/>
  </sheetData>
  <pageMargins left="0.7" right="0.7" top="0.75" bottom="0.75" header="0.3" footer="0.3"/>
  <pageSetup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2B62-4899-4A95-8D8B-F9D946CEB65B}">
  <sheetPr>
    <tabColor rgb="FF002060"/>
    <pageSetUpPr fitToPage="1"/>
  </sheetPr>
  <dimension ref="A1"/>
  <sheetViews>
    <sheetView tabSelected="1" workbookViewId="0">
      <selection activeCell="O11" sqref="O11"/>
    </sheetView>
  </sheetViews>
  <sheetFormatPr defaultRowHeight="14.25" x14ac:dyDescent="0.2"/>
  <cols>
    <col min="1" max="1" width="9" style="4" customWidth="1"/>
    <col min="2" max="16384" width="9" style="4"/>
  </cols>
  <sheetData/>
  <pageMargins left="0.7" right="0.7" top="0.75" bottom="0.75" header="0.3" footer="0.3"/>
  <pageSetup scale="9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2190-0800-4548-92AA-4914A6BBD0F3}">
  <sheetPr>
    <tabColor rgb="FF57EAB6"/>
  </sheetPr>
  <dimension ref="A1:D9"/>
  <sheetViews>
    <sheetView workbookViewId="0">
      <selection activeCell="I10" sqref="I10"/>
    </sheetView>
  </sheetViews>
  <sheetFormatPr defaultRowHeight="14.25" x14ac:dyDescent="0.2"/>
  <cols>
    <col min="1" max="1" width="11.875" customWidth="1"/>
    <col min="2" max="2" width="15.875" customWidth="1"/>
    <col min="3" max="3" width="14.625" customWidth="1"/>
    <col min="4" max="4" width="17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</v>
      </c>
      <c r="B2">
        <v>1567633.95</v>
      </c>
      <c r="C2">
        <v>439238.04</v>
      </c>
      <c r="D2">
        <v>28.018999999999998</v>
      </c>
    </row>
    <row r="3" spans="1:4" x14ac:dyDescent="0.2">
      <c r="A3" t="s">
        <v>9</v>
      </c>
      <c r="B3">
        <v>1406811.74</v>
      </c>
      <c r="C3">
        <v>393705.53</v>
      </c>
      <c r="D3">
        <v>27.986000000000001</v>
      </c>
    </row>
    <row r="4" spans="1:4" x14ac:dyDescent="0.2">
      <c r="A4" t="s">
        <v>6</v>
      </c>
      <c r="B4">
        <v>1332155.51</v>
      </c>
      <c r="C4">
        <v>374344.2</v>
      </c>
      <c r="D4">
        <v>28.100999999999999</v>
      </c>
    </row>
    <row r="5" spans="1:4" x14ac:dyDescent="0.2">
      <c r="A5" t="s">
        <v>5</v>
      </c>
      <c r="B5">
        <v>1246510.77</v>
      </c>
      <c r="C5">
        <v>351005.49</v>
      </c>
      <c r="D5">
        <v>28.158999999999999</v>
      </c>
    </row>
    <row r="6" spans="1:4" x14ac:dyDescent="0.2">
      <c r="A6" t="s">
        <v>10</v>
      </c>
      <c r="B6">
        <v>947748.2</v>
      </c>
      <c r="C6">
        <v>265194.62</v>
      </c>
      <c r="D6">
        <v>27.981999999999999</v>
      </c>
    </row>
    <row r="7" spans="1:4" x14ac:dyDescent="0.2">
      <c r="A7" t="s">
        <v>11</v>
      </c>
      <c r="B7">
        <v>735600.24</v>
      </c>
      <c r="C7">
        <v>204777.98</v>
      </c>
      <c r="D7">
        <v>27.838000000000001</v>
      </c>
    </row>
    <row r="8" spans="1:4" x14ac:dyDescent="0.2">
      <c r="A8" t="s">
        <v>7</v>
      </c>
      <c r="B8">
        <v>714235.73</v>
      </c>
      <c r="C8">
        <v>200443.19</v>
      </c>
      <c r="D8">
        <v>28.064</v>
      </c>
    </row>
    <row r="9" spans="1:4" x14ac:dyDescent="0.2">
      <c r="A9" t="s">
        <v>4</v>
      </c>
      <c r="B9">
        <v>683281.17</v>
      </c>
      <c r="C9">
        <v>192432.02</v>
      </c>
      <c r="D9">
        <v>28.163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5351-2EA8-4C7C-9E61-E76D9B4E2BCC}">
  <sheetPr>
    <tabColor rgb="FF002060"/>
  </sheetPr>
  <dimension ref="A1:C3"/>
  <sheetViews>
    <sheetView workbookViewId="0">
      <selection activeCell="E7" sqref="E7"/>
    </sheetView>
  </sheetViews>
  <sheetFormatPr defaultRowHeight="14.25" x14ac:dyDescent="0.2"/>
  <cols>
    <col min="1" max="1" width="16.5" customWidth="1"/>
    <col min="2" max="2" width="13.25" customWidth="1"/>
    <col min="3" max="3" width="12.5" customWidth="1"/>
  </cols>
  <sheetData>
    <row r="1" spans="1:3" x14ac:dyDescent="0.2">
      <c r="A1" t="s">
        <v>46</v>
      </c>
      <c r="B1" t="s">
        <v>47</v>
      </c>
      <c r="C1" t="s">
        <v>48</v>
      </c>
    </row>
    <row r="2" spans="1:3" x14ac:dyDescent="0.2">
      <c r="A2">
        <v>7.1947064414710802</v>
      </c>
      <c r="B2">
        <v>40.936999999999998</v>
      </c>
      <c r="C2" t="s">
        <v>39</v>
      </c>
    </row>
    <row r="3" spans="1:3" x14ac:dyDescent="0.2">
      <c r="A3">
        <v>7.0226079935405696</v>
      </c>
      <c r="B3">
        <v>24.434000000000001</v>
      </c>
      <c r="C3" t="s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6B25-C307-475B-9870-4CD97BAC92AD}">
  <sheetPr>
    <tabColor rgb="FF6C88FF"/>
    <pageSetUpPr fitToPage="1"/>
  </sheetPr>
  <dimension ref="A1:C4"/>
  <sheetViews>
    <sheetView workbookViewId="0">
      <selection activeCell="E17" sqref="E17"/>
    </sheetView>
  </sheetViews>
  <sheetFormatPr defaultRowHeight="14.25" x14ac:dyDescent="0.2"/>
  <cols>
    <col min="1" max="1" width="14.75" customWidth="1"/>
    <col min="2" max="2" width="19.5" customWidth="1"/>
    <col min="3" max="3" width="15.875" customWidth="1"/>
  </cols>
  <sheetData>
    <row r="1" spans="1:3" x14ac:dyDescent="0.2">
      <c r="A1" t="s">
        <v>41</v>
      </c>
      <c r="B1" t="s">
        <v>42</v>
      </c>
      <c r="C1" t="s">
        <v>1</v>
      </c>
    </row>
    <row r="2" spans="1:3" x14ac:dyDescent="0.2">
      <c r="A2" t="s">
        <v>43</v>
      </c>
      <c r="B2">
        <v>16473</v>
      </c>
      <c r="C2">
        <v>4825878.7699999996</v>
      </c>
    </row>
    <row r="3" spans="1:3" x14ac:dyDescent="0.2">
      <c r="A3" t="s">
        <v>44</v>
      </c>
      <c r="B3">
        <v>18581</v>
      </c>
      <c r="C3">
        <v>2379990.29</v>
      </c>
    </row>
    <row r="4" spans="1:3" x14ac:dyDescent="0.2">
      <c r="A4" t="s">
        <v>45</v>
      </c>
      <c r="B4">
        <v>27085</v>
      </c>
      <c r="C4">
        <v>1428108.25</v>
      </c>
    </row>
  </sheetData>
  <pageMargins left="0.7" right="0.7" top="0.75" bottom="0.75" header="0.3" footer="0.3"/>
  <pageSetup fitToWidth="0" fitToHeight="2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88E0-42E6-40F0-87B3-CBC62B477E51}">
  <sheetPr>
    <tabColor rgb="FF002060"/>
  </sheetPr>
  <dimension ref="A1:C3"/>
  <sheetViews>
    <sheetView workbookViewId="0">
      <selection activeCell="H19" sqref="H19"/>
    </sheetView>
  </sheetViews>
  <sheetFormatPr defaultRowHeight="14.25" x14ac:dyDescent="0.2"/>
  <cols>
    <col min="1" max="1" width="15.875" customWidth="1"/>
    <col min="2" max="2" width="17" customWidth="1"/>
    <col min="3" max="3" width="11.5" customWidth="1"/>
  </cols>
  <sheetData>
    <row r="1" spans="1:3" x14ac:dyDescent="0.2">
      <c r="A1" t="s">
        <v>1</v>
      </c>
      <c r="B1" t="s">
        <v>3</v>
      </c>
      <c r="C1" t="s">
        <v>38</v>
      </c>
    </row>
    <row r="2" spans="1:3" x14ac:dyDescent="0.2">
      <c r="A2">
        <v>7373585.9400000004</v>
      </c>
      <c r="B2">
        <v>28.48</v>
      </c>
      <c r="C2" t="s">
        <v>39</v>
      </c>
    </row>
    <row r="3" spans="1:3" x14ac:dyDescent="0.2">
      <c r="A3">
        <v>1260391.3700000001</v>
      </c>
      <c r="B3">
        <v>25.478000000000002</v>
      </c>
      <c r="C3" t="s">
        <v>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EFD4-6110-4FF9-8261-5ECD26E634D8}">
  <sheetPr>
    <tabColor rgb="FF6C88FF"/>
  </sheetPr>
  <dimension ref="A1:B25"/>
  <sheetViews>
    <sheetView zoomScaleNormal="100" workbookViewId="0">
      <selection activeCell="H21" sqref="H21"/>
    </sheetView>
  </sheetViews>
  <sheetFormatPr defaultRowHeight="14.25" x14ac:dyDescent="0.2"/>
  <cols>
    <col min="1" max="1" width="13" customWidth="1"/>
    <col min="2" max="2" width="16.375" customWidth="1"/>
  </cols>
  <sheetData>
    <row r="1" spans="1:2" x14ac:dyDescent="0.2">
      <c r="A1" t="s">
        <v>12</v>
      </c>
      <c r="B1" t="s">
        <v>13</v>
      </c>
    </row>
    <row r="2" spans="1:2" x14ac:dyDescent="0.2">
      <c r="A2" t="s">
        <v>14</v>
      </c>
      <c r="B2">
        <v>348141.16</v>
      </c>
    </row>
    <row r="3" spans="1:2" x14ac:dyDescent="0.2">
      <c r="A3" t="s">
        <v>15</v>
      </c>
      <c r="B3">
        <v>327319.25</v>
      </c>
    </row>
    <row r="4" spans="1:2" x14ac:dyDescent="0.2">
      <c r="A4" t="s">
        <v>16</v>
      </c>
      <c r="B4">
        <v>346366.74</v>
      </c>
    </row>
    <row r="5" spans="1:2" x14ac:dyDescent="0.2">
      <c r="A5" t="s">
        <v>17</v>
      </c>
      <c r="B5">
        <v>330369.31</v>
      </c>
    </row>
    <row r="6" spans="1:2" x14ac:dyDescent="0.2">
      <c r="A6" t="s">
        <v>18</v>
      </c>
      <c r="B6">
        <v>357866.97</v>
      </c>
    </row>
    <row r="7" spans="1:2" x14ac:dyDescent="0.2">
      <c r="A7" t="s">
        <v>19</v>
      </c>
      <c r="B7">
        <v>342538.26</v>
      </c>
    </row>
    <row r="8" spans="1:2" x14ac:dyDescent="0.2">
      <c r="A8" t="s">
        <v>20</v>
      </c>
      <c r="B8">
        <v>388334.11</v>
      </c>
    </row>
    <row r="9" spans="1:2" x14ac:dyDescent="0.2">
      <c r="A9" t="s">
        <v>21</v>
      </c>
      <c r="B9">
        <v>373987.77</v>
      </c>
    </row>
    <row r="10" spans="1:2" x14ac:dyDescent="0.2">
      <c r="A10" t="s">
        <v>22</v>
      </c>
      <c r="B10">
        <v>357304.83</v>
      </c>
    </row>
    <row r="11" spans="1:2" x14ac:dyDescent="0.2">
      <c r="A11" t="s">
        <v>23</v>
      </c>
      <c r="B11">
        <v>368336.44</v>
      </c>
    </row>
    <row r="12" spans="1:2" x14ac:dyDescent="0.2">
      <c r="A12" t="s">
        <v>24</v>
      </c>
      <c r="B12">
        <v>343070.64</v>
      </c>
    </row>
    <row r="13" spans="1:2" x14ac:dyDescent="0.2">
      <c r="A13" t="s">
        <v>25</v>
      </c>
      <c r="B13">
        <v>339778.65</v>
      </c>
    </row>
    <row r="14" spans="1:2" x14ac:dyDescent="0.2">
      <c r="A14" t="s">
        <v>26</v>
      </c>
      <c r="B14">
        <v>345070.97</v>
      </c>
    </row>
    <row r="15" spans="1:2" x14ac:dyDescent="0.2">
      <c r="A15" t="s">
        <v>27</v>
      </c>
      <c r="B15">
        <v>329089.03000000003</v>
      </c>
    </row>
    <row r="16" spans="1:2" x14ac:dyDescent="0.2">
      <c r="A16" t="s">
        <v>28</v>
      </c>
      <c r="B16">
        <v>354623.96</v>
      </c>
    </row>
    <row r="17" spans="1:2" x14ac:dyDescent="0.2">
      <c r="A17" t="s">
        <v>29</v>
      </c>
      <c r="B17">
        <v>355072.7</v>
      </c>
    </row>
    <row r="18" spans="1:2" x14ac:dyDescent="0.2">
      <c r="A18" t="s">
        <v>30</v>
      </c>
      <c r="B18">
        <v>392674.34</v>
      </c>
    </row>
    <row r="19" spans="1:2" x14ac:dyDescent="0.2">
      <c r="A19" t="s">
        <v>31</v>
      </c>
      <c r="B19">
        <v>379229</v>
      </c>
    </row>
    <row r="20" spans="1:2" x14ac:dyDescent="0.2">
      <c r="A20" t="s">
        <v>32</v>
      </c>
      <c r="B20">
        <v>380506.72</v>
      </c>
    </row>
    <row r="21" spans="1:2" x14ac:dyDescent="0.2">
      <c r="A21" t="s">
        <v>33</v>
      </c>
      <c r="B21">
        <v>367547.99</v>
      </c>
    </row>
    <row r="22" spans="1:2" x14ac:dyDescent="0.2">
      <c r="A22" t="s">
        <v>34</v>
      </c>
      <c r="B22">
        <v>373700.91</v>
      </c>
    </row>
    <row r="23" spans="1:2" x14ac:dyDescent="0.2">
      <c r="A23" t="s">
        <v>35</v>
      </c>
      <c r="B23">
        <v>382001.97</v>
      </c>
    </row>
    <row r="24" spans="1:2" x14ac:dyDescent="0.2">
      <c r="A24" t="s">
        <v>36</v>
      </c>
      <c r="B24">
        <v>367538.29</v>
      </c>
    </row>
    <row r="25" spans="1:2" x14ac:dyDescent="0.2">
      <c r="A25" t="s">
        <v>37</v>
      </c>
      <c r="B25">
        <v>383507.3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6CD0-A80F-4120-BE9D-3F5038E3208C}">
  <sheetPr>
    <tabColor rgb="FF57EAB6"/>
  </sheetPr>
  <dimension ref="B4:M5"/>
  <sheetViews>
    <sheetView zoomScaleNormal="100" workbookViewId="0">
      <selection activeCell="D22" sqref="D22"/>
    </sheetView>
  </sheetViews>
  <sheetFormatPr defaultRowHeight="14.25" x14ac:dyDescent="0.2"/>
  <cols>
    <col min="1" max="1" width="9.25" style="2" customWidth="1"/>
    <col min="2" max="2" width="25.375" style="2" bestFit="1" customWidth="1"/>
    <col min="3" max="3" width="20.75" style="2" customWidth="1"/>
    <col min="4" max="4" width="12.125" style="2" bestFit="1" customWidth="1"/>
    <col min="5" max="16384" width="9" style="2"/>
  </cols>
  <sheetData>
    <row r="4" spans="2:13" x14ac:dyDescent="0.2">
      <c r="B4" s="1"/>
      <c r="D4" s="1"/>
      <c r="H4" s="1"/>
      <c r="M4" s="1"/>
    </row>
    <row r="5" spans="2:13" ht="19.5" customHeight="1" x14ac:dyDescent="0.35">
      <c r="B5" s="5">
        <f>SUM('Revenue By Country'!B2:B9)</f>
        <v>8633977.3100000005</v>
      </c>
      <c r="D5" s="6">
        <f>(SUM('Revenue By Country'!C2:C9)/KPIs!B5)*100</f>
        <v>28.042013351086737</v>
      </c>
      <c r="H5" s="3" t="str">
        <f>INDEX('Revenue By Country'!A2:A9,MATCH(MAX('Revenue By Country'!D2:D9),'Revenue By Country'!D2:D9,0))</f>
        <v>Austria</v>
      </c>
      <c r="M5" s="3" t="str">
        <f>INDEX('Margin_band |Transaction_coun'!A2:A4,MATCH(MAX('Margin_band |Transaction_coun'!C2:C4),'Margin_band |Transaction_coun'!C2:C4,0))</f>
        <v>High Margin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Insights</vt:lpstr>
      <vt:lpstr>Revenue By Country</vt:lpstr>
      <vt:lpstr>promoflag_analysis</vt:lpstr>
      <vt:lpstr>Margin_band |Transaction_coun</vt:lpstr>
      <vt:lpstr>Generic|Non_generic</vt:lpstr>
      <vt:lpstr>Year|Revenue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Arrey Tracy</cp:lastModifiedBy>
  <cp:lastPrinted>2026-08-23T17:14:49Z</cp:lastPrinted>
  <dcterms:created xsi:type="dcterms:W3CDTF">2026-07-31T17:07:16Z</dcterms:created>
  <dcterms:modified xsi:type="dcterms:W3CDTF">2026-09-05T12:51:30Z</dcterms:modified>
</cp:coreProperties>
</file>